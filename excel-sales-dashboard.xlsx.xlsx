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 defaultThemeVersion="166925"/>
  <xr:revisionPtr revIDLastSave="0" documentId="8_{45842DC4-0049-421B-B463-E663676E20C9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DATA " sheetId="1" r:id="rId1"/>
    <sheet name="PIVOT" sheetId="6" r:id="rId2"/>
    <sheet name="DASHBOARD" sheetId="3" r:id="rId3"/>
  </sheets>
  <definedNames>
    <definedName name="Slicer_City">#N/A</definedName>
    <definedName name="Slicer_Status">#N/A</definedName>
  </definedNames>
  <calcPr calcId="191028"/>
  <pivotCaches>
    <pivotCache cacheId="782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C6" i="3"/>
  <c r="A6" i="3"/>
</calcChain>
</file>

<file path=xl/sharedStrings.xml><?xml version="1.0" encoding="utf-8"?>
<sst xmlns="http://schemas.openxmlformats.org/spreadsheetml/2006/main" count="55" uniqueCount="28">
  <si>
    <t>Name</t>
  </si>
  <si>
    <t>City</t>
  </si>
  <si>
    <t>Product</t>
  </si>
  <si>
    <t>Amount</t>
  </si>
  <si>
    <t>Status</t>
  </si>
  <si>
    <t>Rohit</t>
  </si>
  <si>
    <t>Pune</t>
  </si>
  <si>
    <t>Laptop</t>
  </si>
  <si>
    <t>Delivered</t>
  </si>
  <si>
    <t>Amit</t>
  </si>
  <si>
    <t>Mumbai</t>
  </si>
  <si>
    <t>Mobile</t>
  </si>
  <si>
    <t>Pending</t>
  </si>
  <si>
    <t>Neha</t>
  </si>
  <si>
    <t>Delhi</t>
  </si>
  <si>
    <t>Headphones</t>
  </si>
  <si>
    <t>Sara</t>
  </si>
  <si>
    <t>Tablet</t>
  </si>
  <si>
    <t>Cancelled</t>
  </si>
  <si>
    <t>Karan</t>
  </si>
  <si>
    <t>Sum of Amount</t>
  </si>
  <si>
    <t>Count of Status</t>
  </si>
  <si>
    <t>Grand Total</t>
  </si>
  <si>
    <t>Sales Performance Dashboard</t>
  </si>
  <si>
    <t>Key Metrics</t>
  </si>
  <si>
    <t>Total Sales</t>
  </si>
  <si>
    <t>Total Orders</t>
  </si>
  <si>
    <t>Avg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</si>
</sst>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3" fillId="0" borderId="0" xfId="0" applyFont="1" applyBorder="1"/>
    <xf numFmtId="0" fontId="0" fillId="0" borderId="15" xfId="0" applyBorder="1"/>
    <xf numFmtId="0" fontId="0" fillId="0" borderId="16" xfId="0" applyBorder="1"/>
    <xf numFmtId="0" fontId="3" fillId="0" borderId="17" xfId="0" applyFont="1" applyBorder="1"/>
    <xf numFmtId="0" fontId="0" fillId="0" borderId="18" xfId="0" applyBorder="1"/>
    <xf numFmtId="0" fontId="0" fillId="0" borderId="17" xfId="0" applyBorder="1"/>
    <xf numFmtId="0" fontId="6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9" xfId="0" pivotButton="1" applyFont="1" applyBorder="1"/>
    <xf numFmtId="0" fontId="3" fillId="0" borderId="19" xfId="0" applyFont="1" applyBorder="1"/>
    <xf numFmtId="0" fontId="3" fillId="0" borderId="19" xfId="0" applyNumberFormat="1" applyFont="1" applyBorder="1"/>
    <xf numFmtId="0" fontId="3" fillId="2" borderId="19" xfId="0" applyNumberFormat="1" applyFont="1" applyFill="1" applyBorder="1"/>
    <xf numFmtId="0" fontId="3" fillId="2" borderId="19" xfId="0" applyFont="1" applyFill="1" applyBorder="1"/>
    <xf numFmtId="0" fontId="3" fillId="0" borderId="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</cellXfs>
  <cellStyles count="1">
    <cellStyle name="Normal" xfId="0" builtinId="0"/>
  </cellStyles>
  <dxfs count="90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[excel-sales-dashboard.xlsx.xlsx]PIVOT!PivotTable2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86-49B4-861B-8A7DC32D9B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86-49B4-861B-8A7DC32D9B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86-49B4-861B-8A7DC32D9B20}"/>
              </c:ext>
            </c:extLst>
          </c:dPt>
          <c:cat>
            <c:strRef>
              <c:f>PIVOT!$E$4:$E$7</c:f>
              <c:strCache>
                <c:ptCount val="3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</c:strCache>
            </c:strRef>
          </c:cat>
          <c:val>
            <c:numRef>
              <c:f>PIVOT!$F$4:$F$7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86-49B4-861B-8A7DC32D9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[excel-sales-dashboard.xlsx.xlsx]PIVOT!PivotTable4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PIVOT!$H$4:$H$8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Tablet</c:v>
                </c:pt>
              </c:strCache>
            </c:strRef>
          </c:cat>
          <c:val>
            <c:numRef>
              <c:f>PIVOT!$I$4:$I$8</c:f>
              <c:numCache>
                <c:formatCode>General</c:formatCode>
                <c:ptCount val="4"/>
                <c:pt idx="0">
                  <c:v>3000</c:v>
                </c:pt>
                <c:pt idx="1">
                  <c:v>105000</c:v>
                </c:pt>
                <c:pt idx="2">
                  <c:v>20000</c:v>
                </c:pt>
                <c:pt idx="3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6-4622-B7EA-1EC3E7DF7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156424"/>
        <c:axId val="116158472"/>
      </c:barChart>
      <c:catAx>
        <c:axId val="116156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8472"/>
        <c:crosses val="autoZero"/>
        <c:auto val="1"/>
        <c:lblAlgn val="ctr"/>
        <c:lblOffset val="100"/>
        <c:noMultiLvlLbl val="0"/>
      </c:catAx>
      <c:valAx>
        <c:axId val="11615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6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[excel-sales-dashboard.xlsx.xlsx]PIVOT!PivotTable1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PIVOT!$B$4:$B$7</c:f>
              <c:strCache>
                <c:ptCount val="3"/>
                <c:pt idx="0">
                  <c:v>Delhi</c:v>
                </c:pt>
                <c:pt idx="1">
                  <c:v>Mumbai</c:v>
                </c:pt>
                <c:pt idx="2">
                  <c:v>Pune</c:v>
                </c:pt>
              </c:strCache>
            </c:strRef>
          </c:cat>
          <c:val>
            <c:numRef>
              <c:f>PIVOT!$C$4:$C$7</c:f>
              <c:numCache>
                <c:formatCode>General</c:formatCode>
                <c:ptCount val="3"/>
                <c:pt idx="0">
                  <c:v>3000</c:v>
                </c:pt>
                <c:pt idx="1">
                  <c:v>75000</c:v>
                </c:pt>
                <c:pt idx="2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2-42E3-A061-0C5070E91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9"/>
        <c:axId val="2065830919"/>
        <c:axId val="2065848839"/>
      </c:barChart>
      <c:catAx>
        <c:axId val="2065830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848839"/>
        <c:crosses val="autoZero"/>
        <c:auto val="1"/>
        <c:lblAlgn val="ctr"/>
        <c:lblOffset val="100"/>
        <c:noMultiLvlLbl val="0"/>
      </c:catAx>
      <c:valAx>
        <c:axId val="2065848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830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695325</xdr:colOff>
      <xdr:row>2</xdr:row>
      <xdr:rowOff>123825</xdr:rowOff>
    </xdr:from>
    <xdr:to>
      <xdr:col>5</xdr:col>
      <xdr:colOff>314325</xdr:colOff>
      <xdr:row>7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ity 1">
              <a:extLst>
                <a:ext uri="{FF2B5EF4-FFF2-40B4-BE49-F238E27FC236}">
                  <a16:creationId xmlns:a16="http://schemas.microsoft.com/office/drawing/2014/main" id="{1B0EFBFC-B920-8E2C-7EBA-DB7864804AD0}"/>
                </a:ext>
                <a:ext uri="{147F2762-F138-4A5C-976F-8EAC2B608ADB}">
                  <a16:predDERef xmlns:a16="http://schemas.microsoft.com/office/drawing/2014/main" pred="{762D0651-8FEB-4B3A-A175-244537E5C5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72050" y="762000"/>
              <a:ext cx="1828800" cy="1123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428625</xdr:colOff>
      <xdr:row>2</xdr:row>
      <xdr:rowOff>104775</xdr:rowOff>
    </xdr:from>
    <xdr:to>
      <xdr:col>8</xdr:col>
      <xdr:colOff>428625</xdr:colOff>
      <xdr:row>7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Status 1">
              <a:extLst>
                <a:ext uri="{FF2B5EF4-FFF2-40B4-BE49-F238E27FC236}">
                  <a16:creationId xmlns:a16="http://schemas.microsoft.com/office/drawing/2014/main" id="{3AA4483B-37AC-0925-8076-9465F516A628}"/>
                </a:ext>
                <a:ext uri="{147F2762-F138-4A5C-976F-8EAC2B608ADB}">
                  <a16:predDERef xmlns:a16="http://schemas.microsoft.com/office/drawing/2014/main" pred="{1B0EFBFC-B920-8E2C-7EBA-DB7864804A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15150" y="742950"/>
              <a:ext cx="1828800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247650</xdr:colOff>
      <xdr:row>8</xdr:row>
      <xdr:rowOff>19050</xdr:rowOff>
    </xdr:from>
    <xdr:to>
      <xdr:col>3</xdr:col>
      <xdr:colOff>0</xdr:colOff>
      <xdr:row>19</xdr:row>
      <xdr:rowOff>123825</xdr:rowOff>
    </xdr:to>
    <xdr:graphicFrame macro="">
      <xdr:nvGraphicFramePr>
        <xdr:cNvPr id="10" name="Chart 12">
          <a:extLst>
            <a:ext uri="{FF2B5EF4-FFF2-40B4-BE49-F238E27FC236}">
              <a16:creationId xmlns:a16="http://schemas.microsoft.com/office/drawing/2014/main" id="{05B767C2-74EC-423D-BF89-D5A553ED4613}"/>
            </a:ext>
            <a:ext uri="{147F2762-F138-4A5C-976F-8EAC2B608ADB}">
              <a16:predDERef xmlns:a16="http://schemas.microsoft.com/office/drawing/2014/main" pred="{3AA4483B-37AC-0925-8076-9465F516A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114300</xdr:colOff>
      <xdr:row>8</xdr:row>
      <xdr:rowOff>19050</xdr:rowOff>
    </xdr:from>
    <xdr:to>
      <xdr:col>8</xdr:col>
      <xdr:colOff>438150</xdr:colOff>
      <xdr:row>19</xdr:row>
      <xdr:rowOff>123825</xdr:rowOff>
    </xdr:to>
    <xdr:graphicFrame macro="">
      <xdr:nvGraphicFramePr>
        <xdr:cNvPr id="11" name="Chart 13">
          <a:extLst>
            <a:ext uri="{FF2B5EF4-FFF2-40B4-BE49-F238E27FC236}">
              <a16:creationId xmlns:a16="http://schemas.microsoft.com/office/drawing/2014/main" id="{DB815494-E887-4DFD-AC09-816DEFE08DAD}"/>
            </a:ext>
            <a:ext uri="{147F2762-F138-4A5C-976F-8EAC2B608ADB}">
              <a16:predDERef xmlns:a16="http://schemas.microsoft.com/office/drawing/2014/main" pred="{05B767C2-74EC-423D-BF89-D5A553ED4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285750</xdr:colOff>
      <xdr:row>24</xdr:row>
      <xdr:rowOff>180975</xdr:rowOff>
    </xdr:from>
    <xdr:to>
      <xdr:col>5</xdr:col>
      <xdr:colOff>0</xdr:colOff>
      <xdr:row>37</xdr:row>
      <xdr:rowOff>95250</xdr:rowOff>
    </xdr:to>
    <xdr:graphicFrame macro="">
      <xdr:nvGraphicFramePr>
        <xdr:cNvPr id="12" name="Chart 14">
          <a:extLst>
            <a:ext uri="{FF2B5EF4-FFF2-40B4-BE49-F238E27FC236}">
              <a16:creationId xmlns:a16="http://schemas.microsoft.com/office/drawing/2014/main" id="{3A54BC01-1226-4709-91F4-954FDACD81E1}"/>
            </a:ext>
            <a:ext uri="{147F2762-F138-4A5C-976F-8EAC2B608ADB}">
              <a16:predDERef xmlns:a16="http://schemas.microsoft.com/office/drawing/2014/main" pred="{DB815494-E887-4DFD-AC09-816DEFE08D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0.321036458336" createdVersion="8" refreshedVersion="8" minRefreshableVersion="3" recordCount="5" xr:uid="{16B2DD0F-2C28-4086-B68F-E827690957B0}">
  <cacheSource type="worksheet">
    <worksheetSource name="Table15"/>
  </cacheSource>
  <cacheFields count="5">
    <cacheField name="Name" numFmtId="0">
      <sharedItems/>
    </cacheField>
    <cacheField name="City" numFmtId="0">
      <sharedItems count="3">
        <s v="Pune"/>
        <s v="Mumbai"/>
        <s v="Delhi"/>
      </sharedItems>
    </cacheField>
    <cacheField name="Product" numFmtId="0">
      <sharedItems count="4">
        <s v="Laptop"/>
        <s v="Mobile"/>
        <s v="Headphones"/>
        <s v="Tablet"/>
      </sharedItems>
    </cacheField>
    <cacheField name="Amount" numFmtId="0">
      <sharedItems containsSemiMixedTypes="0" containsString="0" containsNumber="1" containsInteger="1" minValue="3000" maxValue="55000"/>
    </cacheField>
    <cacheField name="Status" numFmtId="0">
      <sharedItems count="3">
        <s v="Delivered"/>
        <s v="Pending"/>
        <s v="Cancelled"/>
      </sharedItems>
    </cacheField>
  </cacheFields>
  <extLst>
    <ext xmlns:x14="http://schemas.microsoft.com/office/spreadsheetml/2009/9/main" uri="{725AE2AE-9491-48be-B2B4-4EB974FC3084}">
      <x14:pivotCacheDefinition pivotCacheId="557585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Rohit"/>
    <x v="0"/>
    <x v="0"/>
    <n v="50000"/>
    <x v="0"/>
  </r>
  <r>
    <s v="Amit"/>
    <x v="1"/>
    <x v="1"/>
    <n v="20000"/>
    <x v="1"/>
  </r>
  <r>
    <s v="Neha"/>
    <x v="2"/>
    <x v="2"/>
    <n v="3000"/>
    <x v="0"/>
  </r>
  <r>
    <s v="Sara"/>
    <x v="0"/>
    <x v="3"/>
    <n v="15000"/>
    <x v="2"/>
  </r>
  <r>
    <s v="Karan"/>
    <x v="1"/>
    <x v="0"/>
    <n v="550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D1422-34A4-4CA7-B8D1-5B1B88355604}" name="PivotTable1" cacheId="7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B3:C7" firstHeaderRow="1" firstDataRow="1" firstDataCol="1"/>
  <pivotFields count="5"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dataField="1" compact="0" outline="0" showAll="0"/>
    <pivotField compact="0" outline="0" showAll="0">
      <items count="4">
        <item x="2"/>
        <item x="0"/>
        <item x="1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3" baseField="0" baseItem="0"/>
  </dataFields>
  <formats count="20">
    <format dxfId="70">
      <pivotArea type="all" dataOnly="0" outline="0" fieldPosition="0"/>
    </format>
    <format dxfId="71">
      <pivotArea outline="0" collapsedLevelsAreSubtotals="1" fieldPosition="0"/>
    </format>
    <format dxfId="72">
      <pivotArea field="1" type="button" dataOnly="0" labelOnly="1" outline="0" axis="axisRow" fieldPosition="0"/>
    </format>
    <format dxfId="73">
      <pivotArea dataOnly="0" labelOnly="1" outline="0" fieldPosition="0">
        <references count="1">
          <reference field="1" count="0"/>
        </references>
      </pivotArea>
    </format>
    <format dxfId="74">
      <pivotArea dataOnly="0" labelOnly="1" grandRow="1" outline="0" fieldPosition="0"/>
    </format>
    <format dxfId="75">
      <pivotArea dataOnly="0" labelOnly="1" outline="0" axis="axisValues" fieldPosition="0"/>
    </format>
    <format dxfId="76">
      <pivotArea type="all" dataOnly="0" outline="0" fieldPosition="0"/>
    </format>
    <format dxfId="77">
      <pivotArea outline="0" collapsedLevelsAreSubtotals="1" fieldPosition="0"/>
    </format>
    <format dxfId="78">
      <pivotArea field="1" type="button" dataOnly="0" labelOnly="1" outline="0" axis="axisRow" fieldPosition="0"/>
    </format>
    <format dxfId="79">
      <pivotArea dataOnly="0" labelOnly="1" outline="0" fieldPosition="0">
        <references count="1">
          <reference field="1" count="0"/>
        </references>
      </pivotArea>
    </format>
    <format dxfId="80">
      <pivotArea dataOnly="0" labelOnly="1" grandRow="1" outline="0" fieldPosition="0"/>
    </format>
    <format dxfId="81">
      <pivotArea dataOnly="0" labelOnly="1" outline="0" axis="axisValues" fieldPosition="0"/>
    </format>
    <format dxfId="82">
      <pivotArea type="all" dataOnly="0" outline="0" fieldPosition="0"/>
    </format>
    <format dxfId="83">
      <pivotArea outline="0" collapsedLevelsAreSubtotals="1" fieldPosition="0"/>
    </format>
    <format dxfId="84">
      <pivotArea field="1" type="button" dataOnly="0" labelOnly="1" outline="0" axis="axisRow" fieldPosition="0"/>
    </format>
    <format dxfId="85">
      <pivotArea dataOnly="0" labelOnly="1" outline="0" fieldPosition="0">
        <references count="1">
          <reference field="1" count="0"/>
        </references>
      </pivotArea>
    </format>
    <format dxfId="86">
      <pivotArea dataOnly="0" labelOnly="1" grandRow="1" outline="0" fieldPosition="0"/>
    </format>
    <format dxfId="87">
      <pivotArea dataOnly="0" labelOnly="1" outline="0" axis="axisValues" fieldPosition="0"/>
    </format>
    <format dxfId="88">
      <pivotArea grandRow="1" outline="0" collapsedLevelsAreSubtotals="1" fieldPosition="0"/>
    </format>
    <format dxfId="89">
      <pivotArea dataOnly="0" labelOnly="1" grandRow="1" outline="0" fieldPosition="0"/>
    </format>
  </formats>
  <chartFormats count="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07DD1-07A6-4627-AAFF-FCA180E24BC5}" name="PivotTable4" cacheId="7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H3:I8" firstHeaderRow="1" firstDataRow="1" firstDataCol="1"/>
  <pivotFields count="5">
    <pivotField compact="0" outline="0" showAll="0"/>
    <pivotField compact="0" outline="0" showAll="0">
      <items count="4">
        <item x="2"/>
        <item x="1"/>
        <item x="0"/>
        <item t="default"/>
      </items>
    </pivotField>
    <pivotField axis="axisRow" compact="0" outline="0" showAll="0">
      <items count="5">
        <item x="2"/>
        <item x="0"/>
        <item x="1"/>
        <item x="3"/>
        <item t="default"/>
      </items>
    </pivotField>
    <pivotField dataField="1"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3" baseField="0" baseItem="0"/>
  </dataFields>
  <formats count="20">
    <format dxfId="50">
      <pivotArea type="all" dataOnly="0" outline="0" fieldPosition="0"/>
    </format>
    <format dxfId="51">
      <pivotArea outline="0" collapsedLevelsAreSubtotals="1" fieldPosition="0"/>
    </format>
    <format dxfId="52">
      <pivotArea field="2" type="button" dataOnly="0" labelOnly="1" outline="0" axis="axisRow" fieldPosition="0"/>
    </format>
    <format dxfId="53">
      <pivotArea dataOnly="0" labelOnly="1" outline="0" fieldPosition="0">
        <references count="1">
          <reference field="2" count="0"/>
        </references>
      </pivotArea>
    </format>
    <format dxfId="54">
      <pivotArea dataOnly="0" labelOnly="1" grandRow="1" outline="0" fieldPosition="0"/>
    </format>
    <format dxfId="55">
      <pivotArea dataOnly="0" labelOnly="1" outline="0" axis="axisValues" fieldPosition="0"/>
    </format>
    <format dxfId="56">
      <pivotArea type="all" dataOnly="0" outline="0" fieldPosition="0"/>
    </format>
    <format dxfId="57">
      <pivotArea outline="0" collapsedLevelsAreSubtotals="1" fieldPosition="0"/>
    </format>
    <format dxfId="58">
      <pivotArea field="2" type="button" dataOnly="0" labelOnly="1" outline="0" axis="axisRow" fieldPosition="0"/>
    </format>
    <format dxfId="59">
      <pivotArea dataOnly="0" labelOnly="1" outline="0" fieldPosition="0">
        <references count="1">
          <reference field="2" count="0"/>
        </references>
      </pivotArea>
    </format>
    <format dxfId="60">
      <pivotArea dataOnly="0" labelOnly="1" grandRow="1" outline="0" fieldPosition="0"/>
    </format>
    <format dxfId="61">
      <pivotArea dataOnly="0" labelOnly="1" outline="0" axis="axisValues" fieldPosition="0"/>
    </format>
    <format dxfId="62">
      <pivotArea type="all" dataOnly="0" outline="0" fieldPosition="0"/>
    </format>
    <format dxfId="63">
      <pivotArea outline="0" collapsedLevelsAreSubtotals="1" fieldPosition="0"/>
    </format>
    <format dxfId="64">
      <pivotArea field="2" type="button" dataOnly="0" labelOnly="1" outline="0" axis="axisRow" fieldPosition="0"/>
    </format>
    <format dxfId="65">
      <pivotArea dataOnly="0" labelOnly="1" outline="0" fieldPosition="0">
        <references count="1">
          <reference field="2" count="0"/>
        </references>
      </pivotArea>
    </format>
    <format dxfId="66">
      <pivotArea dataOnly="0" labelOnly="1" grandRow="1" outline="0" fieldPosition="0"/>
    </format>
    <format dxfId="67">
      <pivotArea dataOnly="0" labelOnly="1" outline="0" axis="axisValues" fieldPosition="0"/>
    </format>
    <format dxfId="68">
      <pivotArea grandRow="1" outline="0" collapsedLevelsAreSubtotals="1" fieldPosition="0"/>
    </format>
    <format dxfId="69">
      <pivotArea dataOnly="0" labelOnly="1" grandRow="1" outline="0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499B7-253D-4903-823C-83E17E6ED990}" name="PivotTable2" cacheId="7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E3:F7" firstHeaderRow="1" firstDataRow="1" firstDataCol="1"/>
  <pivotFields count="5"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axis="axisRow" dataField="1" compact="0" outline="0" showAll="0">
      <items count="4">
        <item x="2"/>
        <item x="0"/>
        <item x="1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4" subtotal="count" baseField="0" baseItem="0"/>
  </dataFields>
  <formats count="20"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4" type="button" dataOnly="0" labelOnly="1" outline="0" axis="axisRow" fieldPosition="0"/>
    </format>
    <format dxfId="33">
      <pivotArea dataOnly="0" labelOnly="1" outline="0" fieldPosition="0">
        <references count="1">
          <reference field="4" count="0"/>
        </references>
      </pivotArea>
    </format>
    <format dxfId="34">
      <pivotArea dataOnly="0" labelOnly="1" grandRow="1" outline="0" fieldPosition="0"/>
    </format>
    <format dxfId="35">
      <pivotArea dataOnly="0" labelOnly="1" outline="0" axis="axisValues" fieldPosition="0"/>
    </format>
    <format dxfId="36">
      <pivotArea type="all" dataOnly="0" outline="0" fieldPosition="0"/>
    </format>
    <format dxfId="37">
      <pivotArea outline="0" collapsedLevelsAreSubtotals="1" fieldPosition="0"/>
    </format>
    <format dxfId="38">
      <pivotArea field="4" type="button" dataOnly="0" labelOnly="1" outline="0" axis="axisRow" fieldPosition="0"/>
    </format>
    <format dxfId="39">
      <pivotArea dataOnly="0" labelOnly="1" outline="0" fieldPosition="0">
        <references count="1">
          <reference field="4" count="0"/>
        </references>
      </pivotArea>
    </format>
    <format dxfId="40">
      <pivotArea dataOnly="0" labelOnly="1" grandRow="1" outline="0" fieldPosition="0"/>
    </format>
    <format dxfId="41">
      <pivotArea dataOnly="0" labelOnly="1" outline="0" axis="axisValues" fieldPosition="0"/>
    </format>
    <format dxfId="42">
      <pivotArea type="all" dataOnly="0" outline="0" fieldPosition="0"/>
    </format>
    <format dxfId="43">
      <pivotArea outline="0" collapsedLevelsAreSubtotals="1" fieldPosition="0"/>
    </format>
    <format dxfId="44">
      <pivotArea field="4" type="button" dataOnly="0" labelOnly="1" outline="0" axis="axisRow" fieldPosition="0"/>
    </format>
    <format dxfId="45">
      <pivotArea dataOnly="0" labelOnly="1" outline="0" fieldPosition="0">
        <references count="1">
          <reference field="4" count="0"/>
        </references>
      </pivotArea>
    </format>
    <format dxfId="46">
      <pivotArea dataOnly="0" labelOnly="1" grandRow="1" outline="0" fieldPosition="0"/>
    </format>
    <format dxfId="47">
      <pivotArea dataOnly="0" labelOnly="1" outline="0" axis="axisValues" fieldPosition="0"/>
    </format>
    <format dxfId="48">
      <pivotArea grandRow="1" outline="0" collapsedLevelsAreSubtotals="1" fieldPosition="0"/>
    </format>
    <format dxfId="49">
      <pivotArea dataOnly="0" labelOnly="1" grandRow="1" outline="0" fieldPosition="0"/>
    </format>
  </format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D1EF1-1BA6-452D-9CB4-9410B50ECD76}" name="PivotTable1" cacheId="7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2:M6" firstHeaderRow="1" firstDataRow="1" firstDataCol="1"/>
  <pivotFields count="5"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dataField="1" compact="0" outline="0" showAll="0"/>
    <pivotField compact="0" outline="0" showAll="0">
      <items count="4">
        <item x="2"/>
        <item x="0"/>
        <item x="1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3" baseField="0" baseItem="0"/>
  </dataFields>
  <formats count="20">
    <format dxfId="10">
      <pivotArea type="all" dataOnly="0" outline="0" fieldPosition="0"/>
    </format>
    <format dxfId="11">
      <pivotArea outline="0" collapsedLevelsAreSubtotals="1" fieldPosition="0"/>
    </format>
    <format dxfId="12">
      <pivotArea field="1" type="button" dataOnly="0" labelOnly="1" outline="0" axis="axisRow" fieldPosition="0"/>
    </format>
    <format dxfId="13">
      <pivotArea dataOnly="0" labelOnly="1" outline="0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5">
      <pivotArea dataOnly="0" labelOnly="1" outline="0" axis="axisValues" fieldPosition="0"/>
    </format>
    <format dxfId="16">
      <pivotArea type="all" dataOnly="0" outline="0" fieldPosition="0"/>
    </format>
    <format dxfId="17">
      <pivotArea outline="0" collapsedLevelsAreSubtotals="1" fieldPosition="0"/>
    </format>
    <format dxfId="18">
      <pivotArea field="1" type="button" dataOnly="0" labelOnly="1" outline="0" axis="axisRow" fieldPosition="0"/>
    </format>
    <format dxfId="19">
      <pivotArea dataOnly="0" labelOnly="1" outline="0" fieldPosition="0">
        <references count="1">
          <reference field="1" count="0"/>
        </references>
      </pivotArea>
    </format>
    <format dxfId="20">
      <pivotArea dataOnly="0" labelOnly="1" grandRow="1" outline="0" fieldPosition="0"/>
    </format>
    <format dxfId="21">
      <pivotArea dataOnly="0" labelOnly="1" outline="0" axis="axisValues" fieldPosition="0"/>
    </format>
    <format dxfId="22">
      <pivotArea type="all" dataOnly="0" outline="0" fieldPosition="0"/>
    </format>
    <format dxfId="23">
      <pivotArea outline="0" collapsedLevelsAreSubtotals="1" fieldPosition="0"/>
    </format>
    <format dxfId="24">
      <pivotArea field="1" type="button" dataOnly="0" labelOnly="1" outline="0" axis="axisRow" fieldPosition="0"/>
    </format>
    <format dxfId="25">
      <pivotArea dataOnly="0" labelOnly="1" outline="0" fieldPosition="0">
        <references count="1">
          <reference field="1" count="0"/>
        </references>
      </pivotArea>
    </format>
    <format dxfId="26">
      <pivotArea dataOnly="0" labelOnly="1" grandRow="1" outline="0" fieldPosition="0"/>
    </format>
    <format dxfId="27">
      <pivotArea dataOnly="0" labelOnly="1" outline="0" axis="axisValues" fieldPosition="0"/>
    </format>
    <format dxfId="28">
      <pivotArea grandRow="1" outline="0" collapsedLevelsAreSubtotals="1" fieldPosition="0"/>
    </format>
    <format dxfId="29">
      <pivotArea dataOnly="0" labelOnly="1" grandRow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ity" xr10:uid="{9A78A573-EAAA-44EF-B95C-3FF9571ABABC}" sourceName="City">
  <pivotTables>
    <pivotTable tabId="6" name="PivotTable1"/>
    <pivotTable tabId="3" name="PivotTable1"/>
    <pivotTable tabId="6" name="PivotTable4"/>
    <pivotTable tabId="6" name="PivotTable2"/>
  </pivotTables>
  <data>
    <tabular pivotCacheId="55758569">
      <items count="3">
        <i x="2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us" xr10:uid="{13499E16-0C60-44E7-8219-560EAD46E218}" sourceName="Status">
  <pivotTables>
    <pivotTable tabId="6" name="PivotTable1"/>
    <pivotTable tabId="3" name="PivotTable1"/>
  </pivotTables>
  <data>
    <tabular pivotCacheId="55758569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y 1" xr10:uid="{73CA805F-EF2A-4B1D-8EE1-DD12B838EC7D}" cache="Slicer_City" caption="City" startItem="1" rowHeight="228600"/>
  <slicer name="Status 1" xr10:uid="{07B3A5B0-2741-4B0B-9039-AF8EBA66B222}" cache="Slicer_Status" caption="Status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770282-1FEA-4065-83AC-5CB618C669A7}" name="Table15" displayName="Table15" ref="C3:G8" totalsRowShown="0" headerRowDxfId="9" dataDxfId="8" headerRowBorderDxfId="6" tableBorderDxfId="7" totalsRowBorderDxfId="5">
  <autoFilter ref="C3:G8" xr:uid="{8E770282-1FEA-4065-83AC-5CB618C669A7}"/>
  <sortState xmlns:xlrd2="http://schemas.microsoft.com/office/spreadsheetml/2017/richdata2" ref="C4:G8">
    <sortCondition descending="1" ref="F3:F8"/>
  </sortState>
  <tableColumns count="5">
    <tableColumn id="1" xr3:uid="{5B25BD58-21E9-4948-B324-90F13BD2EE9B}" name="Name" dataDxfId="4"/>
    <tableColumn id="2" xr3:uid="{C149F39C-72F3-4174-B17B-18000BA2E36C}" name="City" dataDxfId="3"/>
    <tableColumn id="3" xr3:uid="{7C54374A-0008-4D3A-B972-75AF13054CFC}" name="Product" dataDxfId="2"/>
    <tableColumn id="4" xr3:uid="{7C9A7C5A-554B-4182-A018-1950FDE392C3}" name="Amount" dataDxfId="1"/>
    <tableColumn id="5" xr3:uid="{BB0B9F59-B282-4B1C-8A56-79A3C28FE755}" name="Statu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9"/>
  <sheetViews>
    <sheetView showGridLines="0" workbookViewId="0">
      <selection activeCell="D11" sqref="D11"/>
    </sheetView>
  </sheetViews>
  <sheetFormatPr defaultRowHeight="15"/>
  <cols>
    <col min="2" max="2" width="3" customWidth="1"/>
    <col min="3" max="3" width="10.140625" bestFit="1" customWidth="1"/>
    <col min="4" max="4" width="10.42578125" bestFit="1" customWidth="1"/>
    <col min="5" max="5" width="15" bestFit="1" customWidth="1"/>
    <col min="7" max="7" width="11.85546875" bestFit="1" customWidth="1"/>
    <col min="8" max="8" width="3" customWidth="1"/>
  </cols>
  <sheetData>
    <row r="2" spans="2:8">
      <c r="B2" s="10"/>
      <c r="C2" s="11"/>
      <c r="D2" s="11"/>
      <c r="E2" s="11"/>
      <c r="F2" s="11"/>
      <c r="G2" s="11"/>
      <c r="H2" s="12"/>
    </row>
    <row r="3" spans="2:8" ht="18.75">
      <c r="B3" s="13"/>
      <c r="C3" s="1" t="s">
        <v>0</v>
      </c>
      <c r="D3" s="2" t="s">
        <v>1</v>
      </c>
      <c r="E3" s="2" t="s">
        <v>2</v>
      </c>
      <c r="F3" s="2" t="s">
        <v>3</v>
      </c>
      <c r="G3" s="3" t="s">
        <v>4</v>
      </c>
      <c r="H3" s="15"/>
    </row>
    <row r="4" spans="2:8" ht="18.75">
      <c r="B4" s="13"/>
      <c r="C4" s="4" t="s">
        <v>5</v>
      </c>
      <c r="D4" s="5" t="s">
        <v>6</v>
      </c>
      <c r="E4" s="5" t="s">
        <v>7</v>
      </c>
      <c r="F4" s="5">
        <v>50000</v>
      </c>
      <c r="G4" s="6" t="s">
        <v>8</v>
      </c>
      <c r="H4" s="15"/>
    </row>
    <row r="5" spans="2:8" ht="18.75">
      <c r="B5" s="13"/>
      <c r="C5" s="4" t="s">
        <v>9</v>
      </c>
      <c r="D5" s="5" t="s">
        <v>10</v>
      </c>
      <c r="E5" s="5" t="s">
        <v>11</v>
      </c>
      <c r="F5" s="5">
        <v>20000</v>
      </c>
      <c r="G5" s="6" t="s">
        <v>12</v>
      </c>
      <c r="H5" s="15"/>
    </row>
    <row r="6" spans="2:8" ht="18.75">
      <c r="B6" s="13"/>
      <c r="C6" s="4" t="s">
        <v>13</v>
      </c>
      <c r="D6" s="5" t="s">
        <v>14</v>
      </c>
      <c r="E6" s="5" t="s">
        <v>15</v>
      </c>
      <c r="F6" s="5">
        <v>3000</v>
      </c>
      <c r="G6" s="6" t="s">
        <v>8</v>
      </c>
      <c r="H6" s="15"/>
    </row>
    <row r="7" spans="2:8" ht="18.75">
      <c r="B7" s="13"/>
      <c r="C7" s="4" t="s">
        <v>16</v>
      </c>
      <c r="D7" s="5" t="s">
        <v>6</v>
      </c>
      <c r="E7" s="5" t="s">
        <v>17</v>
      </c>
      <c r="F7" s="5">
        <v>15000</v>
      </c>
      <c r="G7" s="6" t="s">
        <v>18</v>
      </c>
      <c r="H7" s="15"/>
    </row>
    <row r="8" spans="2:8" ht="18.75">
      <c r="B8" s="13"/>
      <c r="C8" s="7" t="s">
        <v>19</v>
      </c>
      <c r="D8" s="8" t="s">
        <v>10</v>
      </c>
      <c r="E8" s="8" t="s">
        <v>7</v>
      </c>
      <c r="F8" s="8">
        <v>55000</v>
      </c>
      <c r="G8" s="9" t="s">
        <v>8</v>
      </c>
      <c r="H8" s="15"/>
    </row>
    <row r="9" spans="2:8">
      <c r="B9" s="16"/>
      <c r="C9" s="19"/>
      <c r="D9" s="19"/>
      <c r="E9" s="19"/>
      <c r="F9" s="19"/>
      <c r="G9" s="19"/>
      <c r="H9" s="1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B943-388E-4FC1-AB6C-6C0257115126}">
  <dimension ref="A2:J9"/>
  <sheetViews>
    <sheetView showGridLines="0" topLeftCell="B5" workbookViewId="0">
      <selection activeCell="F25" sqref="F25"/>
    </sheetView>
  </sheetViews>
  <sheetFormatPr defaultRowHeight="15"/>
  <cols>
    <col min="1" max="1" width="2.7109375" customWidth="1"/>
    <col min="2" max="2" width="14.42578125" bestFit="1" customWidth="1"/>
    <col min="3" max="3" width="18.85546875" bestFit="1" customWidth="1"/>
    <col min="5" max="5" width="14.42578125" bestFit="1" customWidth="1"/>
    <col min="6" max="6" width="18.42578125" bestFit="1" customWidth="1"/>
    <col min="8" max="8" width="15" bestFit="1" customWidth="1"/>
    <col min="9" max="9" width="18.85546875" bestFit="1" customWidth="1"/>
    <col min="10" max="10" width="3.140625" customWidth="1"/>
  </cols>
  <sheetData>
    <row r="2" spans="1:10">
      <c r="A2" s="10"/>
      <c r="B2" s="11"/>
      <c r="C2" s="11"/>
      <c r="D2" s="11"/>
      <c r="E2" s="11"/>
      <c r="F2" s="11"/>
      <c r="G2" s="11"/>
      <c r="H2" s="11"/>
      <c r="I2" s="11"/>
      <c r="J2" s="12"/>
    </row>
    <row r="3" spans="1:10" ht="18.75">
      <c r="A3" s="13"/>
      <c r="B3" s="26" t="s">
        <v>1</v>
      </c>
      <c r="C3" s="27" t="s">
        <v>20</v>
      </c>
      <c r="D3" s="14"/>
      <c r="E3" s="26" t="s">
        <v>4</v>
      </c>
      <c r="F3" s="27" t="s">
        <v>21</v>
      </c>
      <c r="G3" s="14"/>
      <c r="H3" s="26" t="s">
        <v>2</v>
      </c>
      <c r="I3" s="27" t="s">
        <v>20</v>
      </c>
      <c r="J3" s="15"/>
    </row>
    <row r="4" spans="1:10" ht="18.75">
      <c r="A4" s="13"/>
      <c r="B4" s="27" t="s">
        <v>14</v>
      </c>
      <c r="C4" s="28">
        <v>3000</v>
      </c>
      <c r="D4" s="14"/>
      <c r="E4" s="27" t="s">
        <v>18</v>
      </c>
      <c r="F4" s="28">
        <v>1</v>
      </c>
      <c r="G4" s="14"/>
      <c r="H4" s="27" t="s">
        <v>15</v>
      </c>
      <c r="I4" s="28">
        <v>3000</v>
      </c>
      <c r="J4" s="15"/>
    </row>
    <row r="5" spans="1:10" ht="18.75">
      <c r="A5" s="13"/>
      <c r="B5" s="27" t="s">
        <v>10</v>
      </c>
      <c r="C5" s="28">
        <v>75000</v>
      </c>
      <c r="D5" s="14"/>
      <c r="E5" s="27" t="s">
        <v>8</v>
      </c>
      <c r="F5" s="28">
        <v>3</v>
      </c>
      <c r="G5" s="14"/>
      <c r="H5" s="27" t="s">
        <v>7</v>
      </c>
      <c r="I5" s="28">
        <v>105000</v>
      </c>
      <c r="J5" s="15"/>
    </row>
    <row r="6" spans="1:10" ht="18.75">
      <c r="A6" s="13"/>
      <c r="B6" s="27" t="s">
        <v>6</v>
      </c>
      <c r="C6" s="28">
        <v>65000</v>
      </c>
      <c r="D6" s="14"/>
      <c r="E6" s="27" t="s">
        <v>12</v>
      </c>
      <c r="F6" s="28">
        <v>1</v>
      </c>
      <c r="G6" s="14"/>
      <c r="H6" s="27" t="s">
        <v>11</v>
      </c>
      <c r="I6" s="28">
        <v>20000</v>
      </c>
      <c r="J6" s="15"/>
    </row>
    <row r="7" spans="1:10" ht="18.75">
      <c r="A7" s="13"/>
      <c r="B7" s="30" t="s">
        <v>22</v>
      </c>
      <c r="C7" s="29">
        <v>143000</v>
      </c>
      <c r="D7" s="14"/>
      <c r="E7" s="30" t="s">
        <v>22</v>
      </c>
      <c r="F7" s="29">
        <v>5</v>
      </c>
      <c r="G7" s="14"/>
      <c r="H7" s="27" t="s">
        <v>17</v>
      </c>
      <c r="I7" s="28">
        <v>15000</v>
      </c>
      <c r="J7" s="15"/>
    </row>
    <row r="8" spans="1:10" ht="18.75">
      <c r="A8" s="13"/>
      <c r="B8" s="14"/>
      <c r="C8" s="14"/>
      <c r="D8" s="14"/>
      <c r="E8" s="14"/>
      <c r="F8" s="14"/>
      <c r="G8" s="14"/>
      <c r="H8" s="30" t="s">
        <v>22</v>
      </c>
      <c r="I8" s="29">
        <v>143000</v>
      </c>
      <c r="J8" s="15"/>
    </row>
    <row r="9" spans="1:10" ht="18.75">
      <c r="A9" s="16"/>
      <c r="B9" s="17"/>
      <c r="C9" s="17"/>
      <c r="D9" s="17"/>
      <c r="E9" s="17"/>
      <c r="F9" s="17"/>
      <c r="G9" s="17"/>
      <c r="H9" s="17"/>
      <c r="I9" s="17"/>
      <c r="J9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8CB0-F0E2-4425-8E9D-DF60CD7F13AB}">
  <dimension ref="A1:M42"/>
  <sheetViews>
    <sheetView tabSelected="1" workbookViewId="0">
      <selection activeCell="I42" sqref="I42"/>
    </sheetView>
  </sheetViews>
  <sheetFormatPr defaultRowHeight="15"/>
  <cols>
    <col min="1" max="1" width="17.28515625" customWidth="1"/>
    <col min="2" max="2" width="16.28515625" customWidth="1"/>
    <col min="3" max="3" width="30.5703125" bestFit="1" customWidth="1"/>
    <col min="4" max="4" width="13.5703125" customWidth="1"/>
    <col min="5" max="5" width="19.5703125" bestFit="1" customWidth="1"/>
    <col min="12" max="12" width="14.42578125" hidden="1" customWidth="1"/>
    <col min="13" max="13" width="18.85546875" hidden="1" customWidth="1"/>
  </cols>
  <sheetData>
    <row r="1" spans="1:13" ht="31.5">
      <c r="A1" s="33" t="s">
        <v>23</v>
      </c>
      <c r="B1" s="34"/>
      <c r="C1" s="34"/>
      <c r="D1" s="34"/>
      <c r="E1" s="34"/>
      <c r="F1" s="34"/>
      <c r="G1" s="34"/>
      <c r="H1" s="34"/>
      <c r="I1" s="35"/>
    </row>
    <row r="2" spans="1:13" ht="18.75">
      <c r="A2" s="13"/>
      <c r="B2" s="23"/>
      <c r="C2" s="23"/>
      <c r="D2" s="23"/>
      <c r="E2" s="23"/>
      <c r="F2" s="23"/>
      <c r="G2" s="23"/>
      <c r="H2" s="23"/>
      <c r="I2" s="15"/>
      <c r="L2" s="26" t="s">
        <v>1</v>
      </c>
      <c r="M2" s="27" t="s">
        <v>20</v>
      </c>
    </row>
    <row r="3" spans="1:13" ht="21">
      <c r="A3" s="32" t="s">
        <v>24</v>
      </c>
      <c r="B3" s="24"/>
      <c r="C3" s="24"/>
      <c r="D3" s="24"/>
      <c r="E3" s="24"/>
      <c r="F3" s="23"/>
      <c r="G3" s="23"/>
      <c r="H3" s="23"/>
      <c r="I3" s="15"/>
      <c r="L3" s="27" t="s">
        <v>14</v>
      </c>
      <c r="M3" s="28">
        <v>3000</v>
      </c>
    </row>
    <row r="4" spans="1:13" ht="18.75">
      <c r="A4" s="25"/>
      <c r="B4" s="24"/>
      <c r="C4" s="24"/>
      <c r="D4" s="24"/>
      <c r="E4" s="24"/>
      <c r="F4" s="23"/>
      <c r="G4" s="23"/>
      <c r="H4" s="23"/>
      <c r="I4" s="15"/>
      <c r="L4" s="27" t="s">
        <v>10</v>
      </c>
      <c r="M4" s="28">
        <v>75000</v>
      </c>
    </row>
    <row r="5" spans="1:13" ht="18.75">
      <c r="A5" s="20" t="s">
        <v>25</v>
      </c>
      <c r="B5" s="20" t="s">
        <v>26</v>
      </c>
      <c r="C5" s="20" t="s">
        <v>27</v>
      </c>
      <c r="D5" s="24"/>
      <c r="E5" s="23"/>
      <c r="F5" s="23"/>
      <c r="G5" s="23"/>
      <c r="H5" s="23"/>
      <c r="I5" s="15"/>
      <c r="L5" s="27" t="s">
        <v>6</v>
      </c>
      <c r="M5" s="28">
        <v>65000</v>
      </c>
    </row>
    <row r="6" spans="1:13" ht="18.75">
      <c r="A6" s="21">
        <f>SUM(Table15[Amount])</f>
        <v>143000</v>
      </c>
      <c r="B6" s="22">
        <f>COUNT(Table15[Amount])</f>
        <v>5</v>
      </c>
      <c r="C6" s="21">
        <f>AVERAGE(Table15[Amount])</f>
        <v>28600</v>
      </c>
      <c r="D6" s="31"/>
      <c r="E6" s="23"/>
      <c r="F6" s="23"/>
      <c r="G6" s="23"/>
      <c r="H6" s="23"/>
      <c r="I6" s="15"/>
      <c r="L6" s="30" t="s">
        <v>22</v>
      </c>
      <c r="M6" s="29">
        <v>143000</v>
      </c>
    </row>
    <row r="7" spans="1:13" ht="18.75">
      <c r="A7" s="13"/>
      <c r="B7" s="23"/>
      <c r="C7" s="23"/>
      <c r="D7" s="23"/>
      <c r="E7" s="23"/>
      <c r="F7" s="23"/>
      <c r="G7" s="23"/>
      <c r="H7" s="23"/>
      <c r="I7" s="15"/>
      <c r="L7" s="14"/>
      <c r="M7" s="14"/>
    </row>
    <row r="8" spans="1:13">
      <c r="A8" s="13"/>
      <c r="B8" s="23"/>
      <c r="C8" s="23"/>
      <c r="D8" s="23"/>
      <c r="E8" s="23"/>
      <c r="F8" s="23"/>
      <c r="G8" s="23"/>
      <c r="H8" s="23"/>
      <c r="I8" s="15"/>
    </row>
    <row r="9" spans="1:13">
      <c r="A9" s="13"/>
      <c r="B9" s="23"/>
      <c r="C9" s="23"/>
      <c r="D9" s="23"/>
      <c r="E9" s="23"/>
      <c r="F9" s="23"/>
      <c r="G9" s="23"/>
      <c r="H9" s="23"/>
      <c r="I9" s="15"/>
    </row>
    <row r="10" spans="1:13">
      <c r="A10" s="13"/>
      <c r="B10" s="23"/>
      <c r="C10" s="23"/>
      <c r="D10" s="23"/>
      <c r="E10" s="23"/>
      <c r="F10" s="23"/>
      <c r="G10" s="23"/>
      <c r="H10" s="23"/>
      <c r="I10" s="15"/>
    </row>
    <row r="11" spans="1:13">
      <c r="A11" s="13"/>
      <c r="B11" s="23"/>
      <c r="C11" s="23"/>
      <c r="D11" s="23"/>
      <c r="E11" s="23"/>
      <c r="F11" s="23"/>
      <c r="G11" s="23"/>
      <c r="H11" s="23"/>
      <c r="I11" s="15"/>
    </row>
    <row r="12" spans="1:13">
      <c r="A12" s="13"/>
      <c r="B12" s="23"/>
      <c r="C12" s="23"/>
      <c r="D12" s="23"/>
      <c r="E12" s="23"/>
      <c r="F12" s="23"/>
      <c r="G12" s="23"/>
      <c r="H12" s="23"/>
      <c r="I12" s="15"/>
    </row>
    <row r="13" spans="1:13">
      <c r="A13" s="13"/>
      <c r="B13" s="23"/>
      <c r="C13" s="23"/>
      <c r="D13" s="23"/>
      <c r="E13" s="23"/>
      <c r="F13" s="23"/>
      <c r="G13" s="23"/>
      <c r="H13" s="23"/>
      <c r="I13" s="15"/>
    </row>
    <row r="14" spans="1:13">
      <c r="A14" s="13"/>
      <c r="B14" s="23"/>
      <c r="C14" s="23"/>
      <c r="D14" s="23"/>
      <c r="E14" s="23"/>
      <c r="F14" s="23"/>
      <c r="G14" s="23"/>
      <c r="H14" s="23"/>
      <c r="I14" s="15"/>
    </row>
    <row r="15" spans="1:13">
      <c r="A15" s="13"/>
      <c r="B15" s="23"/>
      <c r="C15" s="23"/>
      <c r="D15" s="23"/>
      <c r="E15" s="23"/>
      <c r="F15" s="23"/>
      <c r="G15" s="23"/>
      <c r="H15" s="23"/>
      <c r="I15" s="15"/>
    </row>
    <row r="16" spans="1:13">
      <c r="A16" s="13"/>
      <c r="B16" s="23"/>
      <c r="C16" s="23"/>
      <c r="D16" s="23"/>
      <c r="E16" s="23"/>
      <c r="F16" s="23"/>
      <c r="G16" s="23"/>
      <c r="H16" s="23"/>
      <c r="I16" s="15"/>
    </row>
    <row r="17" spans="1:9">
      <c r="A17" s="13"/>
      <c r="B17" s="23"/>
      <c r="C17" s="23"/>
      <c r="D17" s="23"/>
      <c r="E17" s="23"/>
      <c r="F17" s="23"/>
      <c r="G17" s="23"/>
      <c r="H17" s="23"/>
      <c r="I17" s="15"/>
    </row>
    <row r="18" spans="1:9">
      <c r="A18" s="13"/>
      <c r="B18" s="23"/>
      <c r="C18" s="23"/>
      <c r="D18" s="23"/>
      <c r="E18" s="23"/>
      <c r="F18" s="23"/>
      <c r="G18" s="23"/>
      <c r="H18" s="23"/>
      <c r="I18" s="15"/>
    </row>
    <row r="19" spans="1:9">
      <c r="A19" s="13"/>
      <c r="B19" s="23"/>
      <c r="C19" s="23"/>
      <c r="D19" s="23"/>
      <c r="E19" s="23"/>
      <c r="F19" s="23"/>
      <c r="G19" s="23"/>
      <c r="H19" s="23"/>
      <c r="I19" s="15"/>
    </row>
    <row r="20" spans="1:9">
      <c r="A20" s="13"/>
      <c r="B20" s="23"/>
      <c r="C20" s="23"/>
      <c r="D20" s="23"/>
      <c r="E20" s="23"/>
      <c r="F20" s="23"/>
      <c r="G20" s="23"/>
      <c r="H20" s="23"/>
      <c r="I20" s="15"/>
    </row>
    <row r="21" spans="1:9">
      <c r="A21" s="13"/>
      <c r="B21" s="23"/>
      <c r="C21" s="23"/>
      <c r="D21" s="23"/>
      <c r="E21" s="23"/>
      <c r="F21" s="23"/>
      <c r="G21" s="23"/>
      <c r="H21" s="23"/>
      <c r="I21" s="15"/>
    </row>
    <row r="22" spans="1:9">
      <c r="A22" s="13"/>
      <c r="B22" s="23"/>
      <c r="C22" s="23"/>
      <c r="D22" s="23"/>
      <c r="E22" s="23"/>
      <c r="F22" s="23"/>
      <c r="G22" s="23"/>
      <c r="H22" s="23"/>
      <c r="I22" s="15"/>
    </row>
    <row r="23" spans="1:9">
      <c r="A23" s="13"/>
      <c r="B23" s="23"/>
      <c r="C23" s="23"/>
      <c r="D23" s="23"/>
      <c r="E23" s="23"/>
      <c r="F23" s="23"/>
      <c r="G23" s="23"/>
      <c r="H23" s="23"/>
      <c r="I23" s="15"/>
    </row>
    <row r="24" spans="1:9">
      <c r="A24" s="13"/>
      <c r="B24" s="23"/>
      <c r="C24" s="23"/>
      <c r="D24" s="23"/>
      <c r="E24" s="23"/>
      <c r="F24" s="23"/>
      <c r="G24" s="23"/>
      <c r="H24" s="23"/>
      <c r="I24" s="15"/>
    </row>
    <row r="25" spans="1:9">
      <c r="A25" s="13"/>
      <c r="B25" s="23"/>
      <c r="C25" s="23"/>
      <c r="D25" s="23"/>
      <c r="E25" s="23"/>
      <c r="F25" s="23"/>
      <c r="G25" s="23"/>
      <c r="H25" s="23"/>
      <c r="I25" s="15"/>
    </row>
    <row r="26" spans="1:9">
      <c r="A26" s="13"/>
      <c r="B26" s="23"/>
      <c r="C26" s="23"/>
      <c r="D26" s="23"/>
      <c r="E26" s="23"/>
      <c r="F26" s="23"/>
      <c r="G26" s="23"/>
      <c r="H26" s="23"/>
      <c r="I26" s="15"/>
    </row>
    <row r="27" spans="1:9">
      <c r="A27" s="13"/>
      <c r="B27" s="23"/>
      <c r="C27" s="23"/>
      <c r="D27" s="23"/>
      <c r="E27" s="23"/>
      <c r="F27" s="23"/>
      <c r="G27" s="23"/>
      <c r="H27" s="23"/>
      <c r="I27" s="15"/>
    </row>
    <row r="28" spans="1:9">
      <c r="A28" s="13"/>
      <c r="B28" s="23"/>
      <c r="C28" s="23"/>
      <c r="D28" s="23"/>
      <c r="E28" s="23"/>
      <c r="F28" s="23"/>
      <c r="G28" s="23"/>
      <c r="H28" s="23"/>
      <c r="I28" s="15"/>
    </row>
    <row r="29" spans="1:9">
      <c r="A29" s="13"/>
      <c r="B29" s="23"/>
      <c r="C29" s="23"/>
      <c r="D29" s="23"/>
      <c r="E29" s="23"/>
      <c r="F29" s="23"/>
      <c r="G29" s="23"/>
      <c r="H29" s="23"/>
      <c r="I29" s="15"/>
    </row>
    <row r="30" spans="1:9">
      <c r="A30" s="13"/>
      <c r="B30" s="23"/>
      <c r="C30" s="23"/>
      <c r="D30" s="23"/>
      <c r="E30" s="23"/>
      <c r="F30" s="23"/>
      <c r="G30" s="23"/>
      <c r="H30" s="23"/>
      <c r="I30" s="15"/>
    </row>
    <row r="31" spans="1:9">
      <c r="A31" s="13"/>
      <c r="B31" s="23"/>
      <c r="C31" s="23"/>
      <c r="D31" s="23"/>
      <c r="E31" s="23"/>
      <c r="F31" s="23"/>
      <c r="G31" s="23"/>
      <c r="H31" s="23"/>
      <c r="I31" s="15"/>
    </row>
    <row r="32" spans="1:9">
      <c r="A32" s="13"/>
      <c r="B32" s="23"/>
      <c r="C32" s="23"/>
      <c r="D32" s="23"/>
      <c r="E32" s="23"/>
      <c r="F32" s="23"/>
      <c r="G32" s="23"/>
      <c r="H32" s="23"/>
      <c r="I32" s="15"/>
    </row>
    <row r="33" spans="1:9">
      <c r="A33" s="13"/>
      <c r="B33" s="23"/>
      <c r="C33" s="23"/>
      <c r="D33" s="23"/>
      <c r="E33" s="23"/>
      <c r="F33" s="23"/>
      <c r="G33" s="23"/>
      <c r="H33" s="23"/>
      <c r="I33" s="15"/>
    </row>
    <row r="34" spans="1:9">
      <c r="A34" s="13"/>
      <c r="B34" s="23"/>
      <c r="C34" s="23"/>
      <c r="D34" s="23"/>
      <c r="E34" s="23"/>
      <c r="F34" s="23"/>
      <c r="G34" s="23"/>
      <c r="H34" s="23"/>
      <c r="I34" s="15"/>
    </row>
    <row r="35" spans="1:9">
      <c r="A35" s="13"/>
      <c r="B35" s="23"/>
      <c r="C35" s="23"/>
      <c r="D35" s="23"/>
      <c r="E35" s="23"/>
      <c r="F35" s="23"/>
      <c r="G35" s="23"/>
      <c r="H35" s="23"/>
      <c r="I35" s="15"/>
    </row>
    <row r="36" spans="1:9">
      <c r="A36" s="13"/>
      <c r="B36" s="23"/>
      <c r="C36" s="23"/>
      <c r="D36" s="23"/>
      <c r="E36" s="23"/>
      <c r="F36" s="23"/>
      <c r="G36" s="23"/>
      <c r="H36" s="23"/>
      <c r="I36" s="15"/>
    </row>
    <row r="37" spans="1:9">
      <c r="A37" s="13"/>
      <c r="B37" s="23"/>
      <c r="C37" s="23"/>
      <c r="D37" s="23"/>
      <c r="E37" s="23"/>
      <c r="F37" s="23"/>
      <c r="G37" s="23"/>
      <c r="H37" s="23"/>
      <c r="I37" s="15"/>
    </row>
    <row r="38" spans="1:9">
      <c r="A38" s="16"/>
      <c r="B38" s="19"/>
      <c r="C38" s="19"/>
      <c r="D38" s="19"/>
      <c r="E38" s="19"/>
      <c r="F38" s="19"/>
      <c r="G38" s="19"/>
      <c r="H38" s="19"/>
      <c r="I38" s="18"/>
    </row>
    <row r="39" spans="1:9">
      <c r="A39" s="23"/>
      <c r="B39" s="23"/>
      <c r="C39" s="23"/>
      <c r="D39" s="23"/>
      <c r="E39" s="23"/>
      <c r="F39" s="23"/>
      <c r="G39" s="23"/>
      <c r="H39" s="23"/>
      <c r="I39" s="23"/>
    </row>
    <row r="40" spans="1:9">
      <c r="A40" s="23"/>
      <c r="B40" s="23"/>
      <c r="C40" s="23"/>
      <c r="D40" s="23"/>
      <c r="E40" s="23"/>
      <c r="F40" s="23"/>
      <c r="G40" s="23"/>
      <c r="H40" s="23"/>
      <c r="I40" s="23"/>
    </row>
    <row r="41" spans="1:9">
      <c r="A41" s="23"/>
      <c r="B41" s="23"/>
      <c r="C41" s="23"/>
      <c r="D41" s="23"/>
      <c r="E41" s="23"/>
      <c r="F41" s="23"/>
      <c r="G41" s="23"/>
      <c r="H41" s="23"/>
      <c r="I41" s="23"/>
    </row>
    <row r="42" spans="1:9">
      <c r="A42" s="23"/>
      <c r="B42" s="23"/>
      <c r="C42" s="23"/>
      <c r="D42" s="23"/>
      <c r="E42" s="23"/>
      <c r="F42" s="23"/>
      <c r="G42" s="23"/>
      <c r="H42" s="23"/>
      <c r="I42" s="23"/>
    </row>
  </sheetData>
  <mergeCells count="1">
    <mergeCell ref="A1:I1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2026-04-28T02:06:49Z</dcterms:created>
  <dcterms:modified xsi:type="dcterms:W3CDTF">2026-04-28T18:36:25Z</dcterms:modified>
  <cp:category/>
  <cp:contentStatus/>
</cp:coreProperties>
</file>